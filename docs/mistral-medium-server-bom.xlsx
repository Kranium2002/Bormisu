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Tier A - Medium on-prem" sheetId="3" state="visible" r:id="rId3"/>
    <sheet name="Tier B - Small workstation" sheetId="4" state="visible" r:id="rId4"/>
    <sheet name="Tier C - H100 reference" sheetId="5" state="visible" r:id="rId5"/>
    <sheet name="Cloud vs buy" sheetId="6" state="visible" r:id="rId6"/>
    <sheet name="Notes &amp;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0 &quot;€&quot;;(#,##0.00 &quot;€&quot;);&quot;-&quot;"/>
    <numFmt numFmtId="166" formatCode="#,##0;(#,##0);&quot;-&quot;"/>
    <numFmt numFmtId="167" formatCode="#,##0 &quot;€&quot;;(#,##0 &quot;€&quot;);&quot;-&quot;"/>
    <numFmt numFmtId="168" formatCode="#,##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0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4" borderId="1" pivotButton="0" quotePrefix="0" xfId="0"/>
    <xf numFmtId="167" fontId="0" fillId="4" borderId="1" pivotButton="0" quotePrefix="0" xfId="0"/>
    <xf numFmtId="164" fontId="5" fillId="4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5" fillId="0" borderId="1" pivotButton="0" quotePrefix="0" xfId="0"/>
    <xf numFmtId="167" fontId="0" fillId="0" borderId="1" pivotButton="0" quotePrefix="0" xfId="0"/>
    <xf numFmtId="0" fontId="4" fillId="0" borderId="1" pivotButton="0" quotePrefix="0" xfId="0"/>
    <xf numFmtId="168" fontId="2" fillId="0" borderId="1" applyAlignment="1" pivotButton="0" quotePrefix="0" xfId="0">
      <alignment vertical="top" wrapText="1"/>
    </xf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4" customWidth="1" min="3" max="3"/>
    <col width="18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>
      <c r="A1" s="1" t="inlineStr">
        <is>
          <t>Server BOM to host Mistral Medium 3.5 - summary</t>
        </is>
      </c>
    </row>
    <row r="2" ht="45" customHeight="1">
      <c r="A2" s="2" t="inlineStr">
        <is>
          <t>Mistral Medium 3.5: 128B dense, vision, 256K context, open weights (Modified MIT, 2026-04-29). FP8 weights ~134 GB; Mistral's floor is 'as few as four GPUs'. Prices are Oct 2026 estimates ex VAT; blue cells on the Assumptions and tier sheets are editable.</t>
        </is>
      </c>
    </row>
    <row r="4" ht="30" customHeight="1">
      <c r="A4" s="3" t="inlineStr">
        <is>
          <t>Tier</t>
        </is>
      </c>
      <c r="B4" s="3" t="inlineStr">
        <is>
          <t>Runs</t>
        </is>
      </c>
      <c r="C4" s="3" t="inlineStr">
        <is>
          <t>GPU VRAM (GB)</t>
        </is>
      </c>
      <c r="D4" s="3" t="inlineStr">
        <is>
          <t>Capex ex VAT (EUR)</t>
        </is>
      </c>
      <c r="E4" s="3" t="inlineStr">
        <is>
          <t>Capex incl. VAT (EUR)</t>
        </is>
      </c>
      <c r="F4" s="3" t="inlineStr">
        <is>
          <t>Peak power (W)</t>
        </is>
      </c>
      <c r="G4" s="3" t="inlineStr">
        <is>
          <t>Electricity / month (EUR)</t>
        </is>
      </c>
      <c r="H4" s="3" t="inlineStr">
        <is>
          <t>TCO / month (EUR, ex VAT)</t>
        </is>
      </c>
    </row>
    <row r="5">
      <c r="A5" s="4" t="inlineStr">
        <is>
          <t>A - 4x RTX PRO 6000 Blackwell (recommended on-prem)</t>
        </is>
      </c>
      <c r="B5" s="4" t="inlineStr">
        <is>
          <t>Mistral Medium 3.5 FP8, 64K-128K ctx</t>
        </is>
      </c>
      <c r="C5" s="5">
        <f>'Tier A - Medium on-prem'!F30</f>
        <v/>
      </c>
      <c r="D5" s="6">
        <f>'Tier A - Medium on-prem'!F19</f>
        <v/>
      </c>
      <c r="E5" s="6">
        <f>'Tier A - Medium on-prem'!F21</f>
        <v/>
      </c>
      <c r="F5" s="5">
        <f>'Tier A - Medium on-prem'!F24</f>
        <v/>
      </c>
      <c r="G5" s="6">
        <f>'Tier A - Medium on-prem'!F26</f>
        <v/>
      </c>
      <c r="H5" s="6">
        <f>'Tier A - Medium on-prem'!F28</f>
        <v/>
      </c>
    </row>
    <row r="6">
      <c r="A6" s="4" t="inlineStr">
        <is>
          <t>B - 1x RTX 5090 workstation (local fallback)</t>
        </is>
      </c>
      <c r="B6" s="4" t="inlineStr">
        <is>
          <t>Mistral Small 3.2 24B only</t>
        </is>
      </c>
      <c r="C6" s="5">
        <f>'Tier B - Small workstation'!F28</f>
        <v/>
      </c>
      <c r="D6" s="6">
        <f>'Tier B - Small workstation'!F17</f>
        <v/>
      </c>
      <c r="E6" s="6">
        <f>'Tier B - Small workstation'!F19</f>
        <v/>
      </c>
      <c r="F6" s="5">
        <f>'Tier B - Small workstation'!F22</f>
        <v/>
      </c>
      <c r="G6" s="6">
        <f>'Tier B - Small workstation'!F24</f>
        <v/>
      </c>
      <c r="H6" s="6">
        <f>'Tier B - Small workstation'!F26</f>
        <v/>
      </c>
    </row>
    <row r="7">
      <c r="A7" s="4" t="inlineStr">
        <is>
          <t>C - 4x H100 80 GB (reference)</t>
        </is>
      </c>
      <c r="B7" s="4" t="inlineStr">
        <is>
          <t>Mistral Medium 3.5 FP8</t>
        </is>
      </c>
      <c r="C7" s="5">
        <f>'Tier C - H100 reference'!F27</f>
        <v/>
      </c>
      <c r="D7" s="6">
        <f>'Tier C - H100 reference'!F16</f>
        <v/>
      </c>
      <c r="E7" s="6">
        <f>'Tier C - H100 reference'!F18</f>
        <v/>
      </c>
      <c r="F7" s="5">
        <f>'Tier C - H100 reference'!F21</f>
        <v/>
      </c>
      <c r="G7" s="6">
        <f>'Tier C - H100 reference'!F23</f>
        <v/>
      </c>
      <c r="H7" s="6">
        <f>'Tier C - H100 reference'!F25</f>
        <v/>
      </c>
    </row>
    <row r="9">
      <c r="A9" s="7" t="inlineStr">
        <is>
          <t>Recommendation</t>
        </is>
      </c>
    </row>
    <row r="10" ht="48" customHeight="1">
      <c r="A10" s="2" t="inlineStr">
        <is>
          <t>Buy Tier A only once monthly API or rental spend passes the break-even on the 'Cloud vs buy' sheet. Until then keep hosted mistral-medium-latest (measured ~0.01 EUR per page) and put Tier B on the desk as the local, swappable fallback. Tier C costs about twice Tier A for the same model fit.</t>
        </is>
      </c>
    </row>
    <row r="12">
      <c r="A12" s="8" t="inlineStr">
        <is>
          <t>Sheets: Assumptions (inputs) · Tier A/B/C (line items) · Cloud vs buy · Notes &amp; sources</t>
        </is>
      </c>
    </row>
  </sheetData>
  <mergeCells count="2">
    <mergeCell ref="A2:F2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0" customWidth="1" min="3" max="3"/>
  </cols>
  <sheetData>
    <row r="1">
      <c r="A1" s="1" t="inlineStr">
        <is>
          <t>Assumptions (edit the blue cells)</t>
        </is>
      </c>
    </row>
    <row r="2">
      <c r="A2" s="8" t="inlineStr">
        <is>
          <t>All prices in EUR excluding VAT, estimates as of 2026-10-17. Replace with supplier quotes before ordering.</t>
        </is>
      </c>
    </row>
    <row r="4">
      <c r="A4" s="9" t="inlineStr">
        <is>
          <t>Parameter</t>
        </is>
      </c>
      <c r="B4" s="9" t="inlineStr">
        <is>
          <t>Value</t>
        </is>
      </c>
      <c r="C4" s="9" t="inlineStr">
        <is>
          <t>Note / source</t>
        </is>
      </c>
    </row>
    <row r="5">
      <c r="A5" s="10" t="inlineStr">
        <is>
          <t>VAT rate (Germany)</t>
        </is>
      </c>
      <c r="B5" s="11" t="n">
        <v>0.19</v>
      </c>
      <c r="C5" s="10" t="inlineStr">
        <is>
          <t>German standard rate.</t>
        </is>
      </c>
    </row>
    <row r="6">
      <c r="A6" s="10" t="inlineStr">
        <is>
          <t>Electricity price (EUR per kWh)</t>
        </is>
      </c>
      <c r="B6" s="12" t="n">
        <v>0.3</v>
      </c>
      <c r="C6" s="10" t="inlineStr">
        <is>
          <t>Typical German commercial tariff 2026, user to confirm.</t>
        </is>
      </c>
    </row>
    <row r="7">
      <c r="A7" s="10" t="inlineStr">
        <is>
          <t>Contingency on hardware (spares, cables, shipping)</t>
        </is>
      </c>
      <c r="B7" s="11" t="n">
        <v>0.05</v>
      </c>
      <c r="C7" s="10" t="inlineStr">
        <is>
          <t>Rule of thumb.</t>
        </is>
      </c>
    </row>
    <row r="8">
      <c r="A8" s="10" t="inlineStr">
        <is>
          <t>Amortisation period (months)</t>
        </is>
      </c>
      <c r="B8" s="13" t="n">
        <v>36</v>
      </c>
      <c r="C8" s="10" t="inlineStr">
        <is>
          <t>Three years, matches the warranty line.</t>
        </is>
      </c>
    </row>
    <row r="9">
      <c r="A9" s="10" t="inlineStr">
        <is>
          <t>Operating hours per month</t>
        </is>
      </c>
      <c r="B9" s="13" t="n">
        <v>730</v>
      </c>
      <c r="C9" s="10" t="inlineStr">
        <is>
          <t>24/7 = 730 h. Lower it if the box is switched off at night.</t>
        </is>
      </c>
    </row>
    <row r="10">
      <c r="A10" s="10" t="inlineStr">
        <is>
          <t>Average load factor (share of peak power while on)</t>
        </is>
      </c>
      <c r="B10" s="11" t="n">
        <v>0.4</v>
      </c>
      <c r="C10" s="10" t="inlineStr">
        <is>
          <t>Inference boxes idle a lot; 40 % is a mid estimate.</t>
        </is>
      </c>
    </row>
    <row r="11">
      <c r="A11" s="10" t="inlineStr">
        <is>
          <t>Cloud rental: 4x H100 80 GB (EUR per hour)</t>
        </is>
      </c>
      <c r="B11" s="12" t="n">
        <v>12</v>
      </c>
      <c r="C11" s="10" t="inlineStr">
        <is>
          <t>On-demand range 10-16 EUR/h across Lambda, RunPod, Hetzner-class providers, Oct 2026.</t>
        </is>
      </c>
    </row>
    <row r="12">
      <c r="A12" s="10" t="inlineStr">
        <is>
          <t>Cloud rental: 4x RTX PRO 6000 96 GB (EUR per hour)</t>
        </is>
      </c>
      <c r="B12" s="12" t="n">
        <v>7</v>
      </c>
      <c r="C12" s="10" t="inlineStr">
        <is>
          <t>On-demand estimate, Oct 2026.</t>
        </is>
      </c>
    </row>
    <row r="13">
      <c r="A13" s="10" t="inlineStr">
        <is>
          <t>Cloud rental: 1x RTX 5090 / 4090 (EUR per hour)</t>
        </is>
      </c>
      <c r="B13" s="12" t="n">
        <v>0.6</v>
      </c>
      <c r="C13" s="10" t="inlineStr">
        <is>
          <t>On-demand estimate, Oct 2026.</t>
        </is>
      </c>
    </row>
    <row r="14">
      <c r="A14" s="10" t="inlineStr">
        <is>
          <t>Mistral API cost per page (EUR)</t>
        </is>
      </c>
      <c r="B14" s="12" t="n">
        <v>0.01</v>
      </c>
      <c r="C14" s="10" t="inlineStr">
        <is>
          <t>Measured: 39 vision calls to mistral-medium-latest cost 0.39 USD on the corpus replay (bh3 README, 2026-10-17).</t>
        </is>
      </c>
    </row>
    <row r="15">
      <c r="A15" s="10" t="inlineStr">
        <is>
          <t>Pages processed per month</t>
        </is>
      </c>
      <c r="B15" s="13" t="n">
        <v>5000</v>
      </c>
      <c r="C15" s="10" t="inlineStr">
        <is>
          <t>Scenario input: the challenge corpus is 1,034 pages.</t>
        </is>
      </c>
    </row>
    <row r="17">
      <c r="A17" s="7" t="inlineStr">
        <is>
          <t>Legend</t>
        </is>
      </c>
    </row>
    <row r="18">
      <c r="A18" s="8" t="inlineStr">
        <is>
          <t>Blue text on yellow = input you can change. Black = formula. Green = value pulled from another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Tier A - Mistral Medium 3.5 on-prem (4x RTX PRO 6000 Blackwell)</t>
        </is>
      </c>
    </row>
    <row r="2" ht="32" customHeight="1">
      <c r="A2" s="2" t="inlineStr">
        <is>
          <t>Runs Mistral Medium 3.5 128B at FP8 (the official checkpoint) with 384 GB VRAM: ~134 GB weights plus room for a 64K-128K KV cache and the vision tower. Cheapest sane on-prem build.</t>
        </is>
      </c>
    </row>
    <row r="4" ht="30" customHeight="1">
      <c r="A4" s="3" t="inlineStr">
        <is>
          <t>#</t>
        </is>
      </c>
      <c r="B4" s="3" t="inlineStr">
        <is>
          <t>Item</t>
        </is>
      </c>
      <c r="C4" s="3" t="inlineStr">
        <is>
          <t>Spec / notes</t>
        </is>
      </c>
      <c r="D4" s="3" t="inlineStr">
        <is>
          <t>Qty</t>
        </is>
      </c>
      <c r="E4" s="3" t="inlineStr">
        <is>
          <t>Unit price (EUR ex VAT)</t>
        </is>
      </c>
      <c r="F4" s="3" t="inlineStr">
        <is>
          <t>Line total (EUR ex VAT)</t>
        </is>
      </c>
      <c r="G4" s="3" t="inlineStr">
        <is>
          <t>Peak power per unit (W)</t>
        </is>
      </c>
      <c r="H4" s="3" t="inlineStr">
        <is>
          <t>Source / assumption</t>
        </is>
      </c>
    </row>
    <row r="5">
      <c r="A5" s="14" t="n">
        <v>1</v>
      </c>
      <c r="B5" s="14" t="inlineStr">
        <is>
          <t>NVIDIA RTX PRO 6000 Blackwell Server Edition 96 GB GDDR7</t>
        </is>
      </c>
      <c r="C5" s="14" t="inlineStr">
        <is>
          <t>passive, 600 W, PCIe 5.0 x16, dual slot</t>
        </is>
      </c>
      <c r="D5" s="15" t="n">
        <v>4</v>
      </c>
      <c r="E5" s="16" t="n">
        <v>8900</v>
      </c>
      <c r="F5" s="17">
        <f>D5*E5</f>
        <v/>
      </c>
      <c r="G5" s="15" t="n">
        <v>600</v>
      </c>
      <c r="H5" s="14" t="inlineStr">
        <is>
          <t>Street 6,999-8,990 EUR ex VAT on eBay.de / Arvutitark; Servermall 12,893 EUR ex VAT; SHI list 17,628 EUR. Budget the mid value.</t>
        </is>
      </c>
    </row>
    <row r="6">
      <c r="A6" s="14" t="n">
        <v>2</v>
      </c>
      <c r="B6" s="14" t="inlineStr">
        <is>
          <t>4U GPU server barebone, 4-8 double-width GPU slots</t>
        </is>
      </c>
      <c r="C6" s="14" t="inlineStr">
        <is>
          <t>e.g. Supermicro AS-4125GS-TNRT or ASRock Rack 4U, 2x 2,700 W redundant Titanium PSU, 8x NVMe bays, 2x 10 GbE onboard, rails</t>
        </is>
      </c>
      <c r="D6" s="15" t="n">
        <v>1</v>
      </c>
      <c r="E6" s="16" t="n">
        <v>7500</v>
      </c>
      <c r="F6" s="17">
        <f>D6*E6</f>
        <v/>
      </c>
      <c r="G6" s="15" t="n">
        <v>500</v>
      </c>
      <c r="H6" s="14" t="inlineStr">
        <is>
          <t>Reseller B2B estimate; public listings are stale. Get a quote from Supermicro / ASRock Rack partner (e.g. Thomas-Krenn, Delta Computer).</t>
        </is>
      </c>
    </row>
    <row r="7">
      <c r="A7" s="14" t="n">
        <v>3</v>
      </c>
      <c r="B7" s="14" t="inlineStr">
        <is>
          <t>AMD EPYC 9354 32-core CPU</t>
        </is>
      </c>
      <c r="C7" s="14" t="inlineStr">
        <is>
          <t>Zen 4, 128 PCIe 5.0 lanes; one socket is enough for inference</t>
        </is>
      </c>
      <c r="D7" s="15" t="n">
        <v>1</v>
      </c>
      <c r="E7" s="16" t="n">
        <v>2800</v>
      </c>
      <c r="F7" s="17">
        <f>D7*E7</f>
        <v/>
      </c>
      <c r="G7" s="15" t="n">
        <v>0</v>
      </c>
      <c r="H7" s="14" t="inlineStr">
        <is>
          <t>Distributor estimate.</t>
        </is>
      </c>
    </row>
    <row r="8">
      <c r="A8" s="14" t="n">
        <v>4</v>
      </c>
      <c r="B8" s="14" t="inlineStr">
        <is>
          <t>DDR5-4800 ECC RDIMM 64 GB</t>
        </is>
      </c>
      <c r="C8" s="14" t="inlineStr">
        <is>
          <t>6 modules = 384 GB, one DIMM per channel (6 of 12 channels)</t>
        </is>
      </c>
      <c r="D8" s="15" t="n">
        <v>6</v>
      </c>
      <c r="E8" s="16" t="n">
        <v>280</v>
      </c>
      <c r="F8" s="17">
        <f>D8*E8</f>
        <v/>
      </c>
      <c r="G8" s="15" t="n">
        <v>0</v>
      </c>
      <c r="H8" s="14" t="inlineStr">
        <is>
          <t>Model loading and page cache; 256 GB+ recommended by Mistral self-host guides.</t>
        </is>
      </c>
    </row>
    <row r="9">
      <c r="A9" s="14" t="n">
        <v>5</v>
      </c>
      <c r="B9" s="14" t="inlineStr">
        <is>
          <t>Enterprise NVMe U.2 3.84 TB</t>
        </is>
      </c>
      <c r="C9" s="14" t="inlineStr">
        <is>
          <t>model weights (~140 GB), work cache, page images; mirror as RAID 1</t>
        </is>
      </c>
      <c r="D9" s="15" t="n">
        <v>2</v>
      </c>
      <c r="E9" s="16" t="n">
        <v>450</v>
      </c>
      <c r="F9" s="17">
        <f>D9*E9</f>
        <v/>
      </c>
      <c r="G9" s="15" t="n">
        <v>0</v>
      </c>
      <c r="H9" s="14" t="inlineStr">
        <is>
          <t>Kioxia CD8 / Micron 7450 class.</t>
        </is>
      </c>
    </row>
    <row r="10">
      <c r="A10" s="14" t="n">
        <v>6</v>
      </c>
      <c r="B10" s="14" t="inlineStr">
        <is>
          <t>Boot SSD M.2 1 TB</t>
        </is>
      </c>
      <c r="C10" s="14" t="inlineStr">
        <is>
          <t>OS and containers</t>
        </is>
      </c>
      <c r="D10" s="15" t="n">
        <v>1</v>
      </c>
      <c r="E10" s="16" t="n">
        <v>120</v>
      </c>
      <c r="F10" s="17">
        <f>D10*E10</f>
        <v/>
      </c>
      <c r="G10" s="15" t="n">
        <v>0</v>
      </c>
      <c r="H10" s="14" t="inlineStr"/>
    </row>
    <row r="11">
      <c r="A11" s="14" t="n">
        <v>7</v>
      </c>
      <c r="B11" s="14" t="inlineStr">
        <is>
          <t>NIC 25 GbE dual-port (optional)</t>
        </is>
      </c>
      <c r="C11" s="14" t="inlineStr">
        <is>
          <t>Mellanox ConnectX-6 Lx; onboard 10 GbE is enough for a single box</t>
        </is>
      </c>
      <c r="D11" s="15" t="n">
        <v>1</v>
      </c>
      <c r="E11" s="16" t="n">
        <v>450</v>
      </c>
      <c r="F11" s="17">
        <f>D11*E11</f>
        <v/>
      </c>
      <c r="G11" s="15" t="n">
        <v>0</v>
      </c>
      <c r="H11" s="14" t="inlineStr">
        <is>
          <t>Optional; set qty 0 if the onboard 10 GbE suffices.</t>
        </is>
      </c>
    </row>
    <row r="12">
      <c r="A12" s="14" t="n">
        <v>8</v>
      </c>
      <c r="B12" s="14" t="inlineStr">
        <is>
          <t>UPS 3 kVA online double conversion, rack 2U</t>
        </is>
      </c>
      <c r="C12" s="14" t="inlineStr">
        <is>
          <t>covers 2.9 kW peak for a clean shutdown</t>
        </is>
      </c>
      <c r="D12" s="15" t="n">
        <v>1</v>
      </c>
      <c r="E12" s="16" t="n">
        <v>1800</v>
      </c>
      <c r="F12" s="17">
        <f>D12*E12</f>
        <v/>
      </c>
      <c r="G12" s="15" t="n">
        <v>0</v>
      </c>
      <c r="H12" s="14" t="inlineStr">
        <is>
          <t>APC SRT3000 / Eaton 9PX class.</t>
        </is>
      </c>
    </row>
    <row r="13">
      <c r="A13" s="14" t="n">
        <v>9</v>
      </c>
      <c r="B13" s="14" t="inlineStr">
        <is>
          <t>12U rack / enclosure</t>
        </is>
      </c>
      <c r="C13" s="14" t="inlineStr">
        <is>
          <t>skip if a rack exists</t>
        </is>
      </c>
      <c r="D13" s="15" t="n">
        <v>1</v>
      </c>
      <c r="E13" s="16" t="n">
        <v>500</v>
      </c>
      <c r="F13" s="17">
        <f>D13*E13</f>
        <v/>
      </c>
      <c r="G13" s="15" t="n">
        <v>0</v>
      </c>
      <c r="H13" s="14" t="inlineStr">
        <is>
          <t>Optional.</t>
        </is>
      </c>
    </row>
    <row r="14">
      <c r="A14" s="14" t="n">
        <v>10</v>
      </c>
      <c r="B14" s="14" t="inlineStr">
        <is>
          <t>Assembly, burn-in, OS + vLLM install</t>
        </is>
      </c>
      <c r="C14" s="14" t="inlineStr">
        <is>
          <t>Ubuntu 24.04, NVIDIA driver, Docker, vLLM nightly, model download</t>
        </is>
      </c>
      <c r="D14" s="15" t="n">
        <v>1</v>
      </c>
      <c r="E14" s="16" t="n">
        <v>1500</v>
      </c>
      <c r="F14" s="17">
        <f>D14*E14</f>
        <v/>
      </c>
      <c r="G14" s="15" t="n">
        <v>0</v>
      </c>
      <c r="H14" s="14" t="inlineStr">
        <is>
          <t>Integrator labour estimate, ~2 days.</t>
        </is>
      </c>
    </row>
    <row r="15">
      <c r="A15" s="14" t="n">
        <v>11</v>
      </c>
      <c r="B15" s="14" t="inlineStr">
        <is>
          <t>3-year on-site warranty / support</t>
        </is>
      </c>
      <c r="C15" s="14" t="inlineStr">
        <is>
          <t>server and GPUs</t>
        </is>
      </c>
      <c r="D15" s="15" t="n">
        <v>1</v>
      </c>
      <c r="E15" s="16" t="n">
        <v>2500</v>
      </c>
      <c r="F15" s="17">
        <f>D15*E15</f>
        <v/>
      </c>
      <c r="G15" s="15" t="n">
        <v>0</v>
      </c>
      <c r="H15" s="14" t="inlineStr">
        <is>
          <t>Typical NBD on-site uplift.</t>
        </is>
      </c>
    </row>
    <row r="16">
      <c r="A16" s="14" t="n">
        <v>12</v>
      </c>
      <c r="B16" s="14" t="inlineStr">
        <is>
          <t>Software: Ubuntu Server, vLLM, Mistral Medium 3.5 weights</t>
        </is>
      </c>
      <c r="C16" s="14" t="inlineStr">
        <is>
          <t>Modified MIT licence, free</t>
        </is>
      </c>
      <c r="D16" s="15" t="n">
        <v>1</v>
      </c>
      <c r="E16" s="16" t="n">
        <v>0</v>
      </c>
      <c r="F16" s="17">
        <f>D16*E16</f>
        <v/>
      </c>
      <c r="G16" s="15" t="n">
        <v>0</v>
      </c>
      <c r="H16" s="14" t="inlineStr">
        <is>
          <t>mistralai/Mistral-Medium-3.5-128B on Hugging Face.</t>
        </is>
      </c>
    </row>
    <row r="17">
      <c r="A17" s="18" t="n"/>
      <c r="B17" s="18" t="inlineStr">
        <is>
          <t>Hardware subtotal (ex VAT)</t>
        </is>
      </c>
      <c r="C17" s="18" t="n"/>
      <c r="D17" s="18" t="n"/>
      <c r="E17" s="18" t="n"/>
      <c r="F17" s="19">
        <f>SUM(F5:F16)</f>
        <v/>
      </c>
      <c r="G17" s="18" t="n"/>
      <c r="H17" s="18" t="n"/>
    </row>
    <row r="18">
      <c r="A18" s="18" t="n"/>
      <c r="B18" s="18" t="inlineStr">
        <is>
          <t>Contingency (spares, cables, shipping)</t>
        </is>
      </c>
      <c r="C18" s="18" t="inlineStr">
        <is>
          <t>rate from Assumptions</t>
        </is>
      </c>
      <c r="D18" s="18" t="n"/>
      <c r="E18" s="20">
        <f>Assumptions!$B$7</f>
        <v/>
      </c>
      <c r="F18" s="19">
        <f>F17*E18</f>
        <v/>
      </c>
      <c r="G18" s="18" t="n"/>
      <c r="H18" s="18" t="n"/>
    </row>
    <row r="19">
      <c r="A19" s="18" t="n"/>
      <c r="B19" s="18" t="inlineStr">
        <is>
          <t>Total capex (ex VAT)</t>
        </is>
      </c>
      <c r="C19" s="18" t="n"/>
      <c r="D19" s="18" t="n"/>
      <c r="E19" s="18" t="n"/>
      <c r="F19" s="19">
        <f>F17+F18</f>
        <v/>
      </c>
      <c r="G19" s="18" t="n"/>
      <c r="H19" s="18" t="n"/>
    </row>
    <row r="20">
      <c r="A20" s="18" t="n"/>
      <c r="B20" s="18" t="inlineStr">
        <is>
          <t>VAT</t>
        </is>
      </c>
      <c r="C20" s="18" t="n"/>
      <c r="D20" s="18" t="n"/>
      <c r="E20" s="20">
        <f>Assumptions!$B$5</f>
        <v/>
      </c>
      <c r="F20" s="19">
        <f>F19*E20</f>
        <v/>
      </c>
      <c r="G20" s="18" t="n"/>
      <c r="H20" s="18" t="n"/>
    </row>
    <row r="21">
      <c r="A21" s="18" t="n"/>
      <c r="B21" s="18" t="inlineStr">
        <is>
          <t>Total capex (incl. VAT)</t>
        </is>
      </c>
      <c r="C21" s="18" t="n"/>
      <c r="D21" s="18" t="n"/>
      <c r="E21" s="18" t="n"/>
      <c r="F21" s="19">
        <f>F19+F20</f>
        <v/>
      </c>
      <c r="G21" s="18" t="n"/>
      <c r="H21" s="18" t="n"/>
    </row>
    <row r="23">
      <c r="B23" s="7" t="inlineStr">
        <is>
          <t>Power and running cost</t>
        </is>
      </c>
    </row>
    <row r="24">
      <c r="A24" s="21" t="n"/>
      <c r="B24" s="21" t="inlineStr">
        <is>
          <t>Peak system power (W)</t>
        </is>
      </c>
      <c r="C24" s="21" t="n"/>
      <c r="D24" s="21" t="n"/>
      <c r="E24" s="21" t="n"/>
      <c r="F24" s="22">
        <f>SUMPRODUCT(D5:D16,G5:G16)</f>
        <v/>
      </c>
      <c r="G24" s="21" t="n"/>
      <c r="H24" s="21" t="n"/>
    </row>
    <row r="25">
      <c r="A25" s="21" t="n"/>
      <c r="B25" s="21" t="inlineStr">
        <is>
          <t>Average draw (W) = peak x load factor</t>
        </is>
      </c>
      <c r="C25" s="21" t="n"/>
      <c r="D25" s="21" t="n"/>
      <c r="E25" s="23">
        <f>Assumptions!$B$10</f>
        <v/>
      </c>
      <c r="F25" s="22">
        <f>F24*E25</f>
        <v/>
      </c>
      <c r="G25" s="21" t="n"/>
      <c r="H25" s="21" t="n"/>
    </row>
    <row r="26">
      <c r="A26" s="21" t="n"/>
      <c r="B26" s="21" t="inlineStr">
        <is>
          <t>Electricity per month (EUR)</t>
        </is>
      </c>
      <c r="C26" s="21" t="inlineStr">
        <is>
          <t>avg W / 1000 x hours x EUR/kWh</t>
        </is>
      </c>
      <c r="D26" s="21" t="n"/>
      <c r="E26" s="21" t="n"/>
      <c r="F26" s="24">
        <f>F25/1000*Assumptions!$B$9*Assumptions!$B$6</f>
        <v/>
      </c>
      <c r="G26" s="21" t="n"/>
      <c r="H26" s="21" t="n"/>
    </row>
    <row r="27">
      <c r="A27" s="21" t="n"/>
      <c r="B27" s="21" t="inlineStr">
        <is>
          <t>Capex amortised per month (EUR, ex VAT)</t>
        </is>
      </c>
      <c r="C27" s="21" t="n"/>
      <c r="D27" s="21" t="n"/>
      <c r="E27" s="21" t="n"/>
      <c r="F27" s="24">
        <f>F19/Assumptions!$B$8</f>
        <v/>
      </c>
      <c r="G27" s="21" t="n"/>
      <c r="H27" s="21" t="n"/>
    </row>
    <row r="28">
      <c r="A28" s="21" t="n"/>
      <c r="B28" s="21" t="inlineStr">
        <is>
          <t>Total cost of ownership per month (EUR, ex VAT)</t>
        </is>
      </c>
      <c r="C28" s="21" t="n"/>
      <c r="D28" s="21" t="n"/>
      <c r="E28" s="21" t="n"/>
      <c r="F28" s="24">
        <f>F26+F27</f>
        <v/>
      </c>
      <c r="G28" s="21" t="n"/>
      <c r="H28" s="21" t="n"/>
    </row>
    <row r="30">
      <c r="A30" s="10" t="n"/>
      <c r="B30" s="10" t="inlineStr">
        <is>
          <t>Total GPU VRAM (GB)</t>
        </is>
      </c>
      <c r="C30" s="10" t="n"/>
      <c r="D30" s="10" t="n"/>
      <c r="E30" s="10" t="n"/>
      <c r="F30" s="25" t="n">
        <v>384</v>
      </c>
      <c r="G30" s="10" t="n"/>
      <c r="H30" s="10" t="inlineStr">
        <is>
          <t>GPU count x VRAM per card.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Tier B - Mistral Small 3.2 workstation (1x RTX 5090)</t>
        </is>
      </c>
    </row>
    <row r="2" ht="32" customHeight="1">
      <c r="A2" s="2" t="inlineStr">
        <is>
          <t>Runs Mistral Small 3.2 24B (vision) at FP8/Q4 on one 32 GB card as the local fallback. Does NOT run Mistral Medium 3.5.</t>
        </is>
      </c>
    </row>
    <row r="4" ht="30" customHeight="1">
      <c r="A4" s="3" t="inlineStr">
        <is>
          <t>#</t>
        </is>
      </c>
      <c r="B4" s="3" t="inlineStr">
        <is>
          <t>Item</t>
        </is>
      </c>
      <c r="C4" s="3" t="inlineStr">
        <is>
          <t>Spec / notes</t>
        </is>
      </c>
      <c r="D4" s="3" t="inlineStr">
        <is>
          <t>Qty</t>
        </is>
      </c>
      <c r="E4" s="3" t="inlineStr">
        <is>
          <t>Unit price (EUR ex VAT)</t>
        </is>
      </c>
      <c r="F4" s="3" t="inlineStr">
        <is>
          <t>Line total (EUR ex VAT)</t>
        </is>
      </c>
      <c r="G4" s="3" t="inlineStr">
        <is>
          <t>Peak power per unit (W)</t>
        </is>
      </c>
      <c r="H4" s="3" t="inlineStr">
        <is>
          <t>Source / assumption</t>
        </is>
      </c>
    </row>
    <row r="5">
      <c r="A5" s="14" t="n">
        <v>1</v>
      </c>
      <c r="B5" s="14" t="inlineStr">
        <is>
          <t>NVIDIA GeForce RTX 5090 32 GB</t>
        </is>
      </c>
      <c r="C5" s="14" t="inlineStr">
        <is>
          <t>575 W, consumer card</t>
        </is>
      </c>
      <c r="D5" s="15" t="n">
        <v>1</v>
      </c>
      <c r="E5" s="16" t="n">
        <v>2300</v>
      </c>
      <c r="F5" s="17">
        <f>D5*E5</f>
        <v/>
      </c>
      <c r="G5" s="15" t="n">
        <v>575</v>
      </c>
      <c r="H5" s="14" t="inlineStr">
        <is>
          <t>Street price Oct 2026, ex VAT.</t>
        </is>
      </c>
    </row>
    <row r="6">
      <c r="A6" s="14" t="n">
        <v>2</v>
      </c>
      <c r="B6" s="14" t="inlineStr">
        <is>
          <t>AMD Ryzen 9 9950X 16-core</t>
        </is>
      </c>
      <c r="C6" s="14" t="inlineStr"/>
      <c r="D6" s="15" t="n">
        <v>1</v>
      </c>
      <c r="E6" s="16" t="n">
        <v>550</v>
      </c>
      <c r="F6" s="17">
        <f>D6*E6</f>
        <v/>
      </c>
      <c r="G6" s="15" t="n">
        <v>170</v>
      </c>
      <c r="H6" s="14" t="inlineStr"/>
    </row>
    <row r="7">
      <c r="A7" s="14" t="n">
        <v>3</v>
      </c>
      <c r="B7" s="14" t="inlineStr">
        <is>
          <t>X870E ATX motherboard</t>
        </is>
      </c>
      <c r="C7" s="14" t="inlineStr">
        <is>
          <t>PCIe 5.0 x16, 2.5/10 GbE</t>
        </is>
      </c>
      <c r="D7" s="15" t="n">
        <v>1</v>
      </c>
      <c r="E7" s="16" t="n">
        <v>350</v>
      </c>
      <c r="F7" s="17">
        <f>D7*E7</f>
        <v/>
      </c>
      <c r="G7" s="15" t="n">
        <v>0</v>
      </c>
      <c r="H7" s="14" t="inlineStr"/>
    </row>
    <row r="8">
      <c r="A8" s="14" t="n">
        <v>4</v>
      </c>
      <c r="B8" s="14" t="inlineStr">
        <is>
          <t>DDR5-5600 48 GB (2x = 96 GB)</t>
        </is>
      </c>
      <c r="C8" s="14" t="inlineStr">
        <is>
          <t>non-ECC desktop</t>
        </is>
      </c>
      <c r="D8" s="15" t="n">
        <v>2</v>
      </c>
      <c r="E8" s="16" t="n">
        <v>175</v>
      </c>
      <c r="F8" s="17">
        <f>D8*E8</f>
        <v/>
      </c>
      <c r="G8" s="15" t="n">
        <v>0</v>
      </c>
      <c r="H8" s="14" t="inlineStr"/>
    </row>
    <row r="9">
      <c r="A9" s="14" t="n">
        <v>5</v>
      </c>
      <c r="B9" s="14" t="inlineStr">
        <is>
          <t>NVMe M.2 2 TB</t>
        </is>
      </c>
      <c r="C9" s="14" t="inlineStr">
        <is>
          <t>models and page cache</t>
        </is>
      </c>
      <c r="D9" s="15" t="n">
        <v>1</v>
      </c>
      <c r="E9" s="16" t="n">
        <v>150</v>
      </c>
      <c r="F9" s="17">
        <f>D9*E9</f>
        <v/>
      </c>
      <c r="G9" s="15" t="n">
        <v>0</v>
      </c>
      <c r="H9" s="14" t="inlineStr"/>
    </row>
    <row r="10">
      <c r="A10" s="14" t="n">
        <v>6</v>
      </c>
      <c r="B10" s="14" t="inlineStr">
        <is>
          <t>PSU 1,200 W ATX 3.1 (12V-2x6)</t>
        </is>
      </c>
      <c r="C10" s="14" t="inlineStr"/>
      <c r="D10" s="15" t="n">
        <v>1</v>
      </c>
      <c r="E10" s="16" t="n">
        <v>220</v>
      </c>
      <c r="F10" s="17">
        <f>D10*E10</f>
        <v/>
      </c>
      <c r="G10" s="15" t="n">
        <v>0</v>
      </c>
      <c r="H10" s="14" t="inlineStr"/>
    </row>
    <row r="11">
      <c r="A11" s="14" t="n">
        <v>7</v>
      </c>
      <c r="B11" s="14" t="inlineStr">
        <is>
          <t>Tower case with airflow</t>
        </is>
      </c>
      <c r="C11" s="14" t="inlineStr"/>
      <c r="D11" s="15" t="n">
        <v>1</v>
      </c>
      <c r="E11" s="16" t="n">
        <v>150</v>
      </c>
      <c r="F11" s="17">
        <f>D11*E11</f>
        <v/>
      </c>
      <c r="G11" s="15" t="n">
        <v>0</v>
      </c>
      <c r="H11" s="14" t="inlineStr"/>
    </row>
    <row r="12">
      <c r="A12" s="14" t="n">
        <v>8</v>
      </c>
      <c r="B12" s="14" t="inlineStr">
        <is>
          <t>CPU cooler 360 mm AIO</t>
        </is>
      </c>
      <c r="C12" s="14" t="inlineStr"/>
      <c r="D12" s="15" t="n">
        <v>1</v>
      </c>
      <c r="E12" s="16" t="n">
        <v>130</v>
      </c>
      <c r="F12" s="17">
        <f>D12*E12</f>
        <v/>
      </c>
      <c r="G12" s="15" t="n">
        <v>0</v>
      </c>
      <c r="H12" s="14" t="inlineStr"/>
    </row>
    <row r="13">
      <c r="A13" s="14" t="n">
        <v>9</v>
      </c>
      <c r="B13" s="14" t="inlineStr">
        <is>
          <t>Assembly + Ubuntu / Ollama or vLLM install</t>
        </is>
      </c>
      <c r="C13" s="14" t="inlineStr"/>
      <c r="D13" s="15" t="n">
        <v>1</v>
      </c>
      <c r="E13" s="16" t="n">
        <v>150</v>
      </c>
      <c r="F13" s="17">
        <f>D13*E13</f>
        <v/>
      </c>
      <c r="G13" s="15" t="n">
        <v>0</v>
      </c>
      <c r="H13" s="14" t="inlineStr">
        <is>
          <t>In-house, half a day.</t>
        </is>
      </c>
    </row>
    <row r="14">
      <c r="A14" s="14" t="n">
        <v>10</v>
      </c>
      <c r="B14" s="14" t="inlineStr">
        <is>
          <t>Software: Mistral Small 3.2 weights</t>
        </is>
      </c>
      <c r="C14" s="14" t="inlineStr">
        <is>
          <t>Apache 2.0, free</t>
        </is>
      </c>
      <c r="D14" s="15" t="n">
        <v>1</v>
      </c>
      <c r="E14" s="16" t="n">
        <v>0</v>
      </c>
      <c r="F14" s="17">
        <f>D14*E14</f>
        <v/>
      </c>
      <c r="G14" s="15" t="n">
        <v>0</v>
      </c>
      <c r="H14" s="14" t="inlineStr">
        <is>
          <t>mistralai/Mistral-Small-3.2-24B-Instruct-2506.</t>
        </is>
      </c>
    </row>
    <row r="15">
      <c r="A15" s="18" t="n"/>
      <c r="B15" s="18" t="inlineStr">
        <is>
          <t>Hardware subtotal (ex VAT)</t>
        </is>
      </c>
      <c r="C15" s="18" t="n"/>
      <c r="D15" s="18" t="n"/>
      <c r="E15" s="18" t="n"/>
      <c r="F15" s="19">
        <f>SUM(F5:F14)</f>
        <v/>
      </c>
      <c r="G15" s="18" t="n"/>
      <c r="H15" s="18" t="n"/>
    </row>
    <row r="16">
      <c r="A16" s="18" t="n"/>
      <c r="B16" s="18" t="inlineStr">
        <is>
          <t>Contingency (spares, cables, shipping)</t>
        </is>
      </c>
      <c r="C16" s="18" t="inlineStr">
        <is>
          <t>rate from Assumptions</t>
        </is>
      </c>
      <c r="D16" s="18" t="n"/>
      <c r="E16" s="20">
        <f>Assumptions!$B$7</f>
        <v/>
      </c>
      <c r="F16" s="19">
        <f>F15*E16</f>
        <v/>
      </c>
      <c r="G16" s="18" t="n"/>
      <c r="H16" s="18" t="n"/>
    </row>
    <row r="17">
      <c r="A17" s="18" t="n"/>
      <c r="B17" s="18" t="inlineStr">
        <is>
          <t>Total capex (ex VAT)</t>
        </is>
      </c>
      <c r="C17" s="18" t="n"/>
      <c r="D17" s="18" t="n"/>
      <c r="E17" s="18" t="n"/>
      <c r="F17" s="19">
        <f>F15+F16</f>
        <v/>
      </c>
      <c r="G17" s="18" t="n"/>
      <c r="H17" s="18" t="n"/>
    </row>
    <row r="18">
      <c r="A18" s="18" t="n"/>
      <c r="B18" s="18" t="inlineStr">
        <is>
          <t>VAT</t>
        </is>
      </c>
      <c r="C18" s="18" t="n"/>
      <c r="D18" s="18" t="n"/>
      <c r="E18" s="20">
        <f>Assumptions!$B$5</f>
        <v/>
      </c>
      <c r="F18" s="19">
        <f>F17*E18</f>
        <v/>
      </c>
      <c r="G18" s="18" t="n"/>
      <c r="H18" s="18" t="n"/>
    </row>
    <row r="19">
      <c r="A19" s="18" t="n"/>
      <c r="B19" s="18" t="inlineStr">
        <is>
          <t>Total capex (incl. VAT)</t>
        </is>
      </c>
      <c r="C19" s="18" t="n"/>
      <c r="D19" s="18" t="n"/>
      <c r="E19" s="18" t="n"/>
      <c r="F19" s="19">
        <f>F17+F18</f>
        <v/>
      </c>
      <c r="G19" s="18" t="n"/>
      <c r="H19" s="18" t="n"/>
    </row>
    <row r="21">
      <c r="B21" s="7" t="inlineStr">
        <is>
          <t>Power and running cost</t>
        </is>
      </c>
    </row>
    <row r="22">
      <c r="A22" s="21" t="n"/>
      <c r="B22" s="21" t="inlineStr">
        <is>
          <t>Peak system power (W)</t>
        </is>
      </c>
      <c r="C22" s="21" t="n"/>
      <c r="D22" s="21" t="n"/>
      <c r="E22" s="21" t="n"/>
      <c r="F22" s="22">
        <f>SUMPRODUCT(D5:D14,G5:G14)</f>
        <v/>
      </c>
      <c r="G22" s="21" t="n"/>
      <c r="H22" s="21" t="n"/>
    </row>
    <row r="23">
      <c r="A23" s="21" t="n"/>
      <c r="B23" s="21" t="inlineStr">
        <is>
          <t>Average draw (W) = peak x load factor</t>
        </is>
      </c>
      <c r="C23" s="21" t="n"/>
      <c r="D23" s="21" t="n"/>
      <c r="E23" s="23">
        <f>Assumptions!$B$10</f>
        <v/>
      </c>
      <c r="F23" s="22">
        <f>F22*E23</f>
        <v/>
      </c>
      <c r="G23" s="21" t="n"/>
      <c r="H23" s="21" t="n"/>
    </row>
    <row r="24">
      <c r="A24" s="21" t="n"/>
      <c r="B24" s="21" t="inlineStr">
        <is>
          <t>Electricity per month (EUR)</t>
        </is>
      </c>
      <c r="C24" s="21" t="inlineStr">
        <is>
          <t>avg W / 1000 x hours x EUR/kWh</t>
        </is>
      </c>
      <c r="D24" s="21" t="n"/>
      <c r="E24" s="21" t="n"/>
      <c r="F24" s="24">
        <f>F23/1000*Assumptions!$B$9*Assumptions!$B$6</f>
        <v/>
      </c>
      <c r="G24" s="21" t="n"/>
      <c r="H24" s="21" t="n"/>
    </row>
    <row r="25">
      <c r="A25" s="21" t="n"/>
      <c r="B25" s="21" t="inlineStr">
        <is>
          <t>Capex amortised per month (EUR, ex VAT)</t>
        </is>
      </c>
      <c r="C25" s="21" t="n"/>
      <c r="D25" s="21" t="n"/>
      <c r="E25" s="21" t="n"/>
      <c r="F25" s="24">
        <f>F17/Assumptions!$B$8</f>
        <v/>
      </c>
      <c r="G25" s="21" t="n"/>
      <c r="H25" s="21" t="n"/>
    </row>
    <row r="26">
      <c r="A26" s="21" t="n"/>
      <c r="B26" s="21" t="inlineStr">
        <is>
          <t>Total cost of ownership per month (EUR, ex VAT)</t>
        </is>
      </c>
      <c r="C26" s="21" t="n"/>
      <c r="D26" s="21" t="n"/>
      <c r="E26" s="21" t="n"/>
      <c r="F26" s="24">
        <f>F24+F25</f>
        <v/>
      </c>
      <c r="G26" s="21" t="n"/>
      <c r="H26" s="21" t="n"/>
    </row>
    <row r="28">
      <c r="A28" s="10" t="n"/>
      <c r="B28" s="10" t="inlineStr">
        <is>
          <t>Total GPU VRAM (GB)</t>
        </is>
      </c>
      <c r="C28" s="10" t="n"/>
      <c r="D28" s="10" t="n"/>
      <c r="E28" s="10" t="n"/>
      <c r="F28" s="25" t="n">
        <v>32</v>
      </c>
      <c r="G28" s="10" t="n"/>
      <c r="H28" s="10" t="inlineStr">
        <is>
          <t>GPU count x VRAM per card.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Tier C - Reference: 4x H100 80 GB node</t>
        </is>
      </c>
    </row>
    <row r="2" ht="32" customHeight="1">
      <c r="A2" s="2" t="inlineStr">
        <is>
          <t>What the 'four GPUs' in Mistral's announcement usually means. Same model fit as Tier A (320 GB VRAM, FP8) at datacenter pricing. Listed for comparison; not recommended for a first box.</t>
        </is>
      </c>
    </row>
    <row r="4" ht="30" customHeight="1">
      <c r="A4" s="3" t="inlineStr">
        <is>
          <t>#</t>
        </is>
      </c>
      <c r="B4" s="3" t="inlineStr">
        <is>
          <t>Item</t>
        </is>
      </c>
      <c r="C4" s="3" t="inlineStr">
        <is>
          <t>Spec / notes</t>
        </is>
      </c>
      <c r="D4" s="3" t="inlineStr">
        <is>
          <t>Qty</t>
        </is>
      </c>
      <c r="E4" s="3" t="inlineStr">
        <is>
          <t>Unit price (EUR ex VAT)</t>
        </is>
      </c>
      <c r="F4" s="3" t="inlineStr">
        <is>
          <t>Line total (EUR ex VAT)</t>
        </is>
      </c>
      <c r="G4" s="3" t="inlineStr">
        <is>
          <t>Peak power per unit (W)</t>
        </is>
      </c>
      <c r="H4" s="3" t="inlineStr">
        <is>
          <t>Source / assumption</t>
        </is>
      </c>
    </row>
    <row r="5">
      <c r="A5" s="14" t="n">
        <v>1</v>
      </c>
      <c r="B5" s="14" t="inlineStr">
        <is>
          <t>NVIDIA H100 80 GB PCIe</t>
        </is>
      </c>
      <c r="C5" s="14" t="inlineStr">
        <is>
          <t>350 W, passive, NVLink bridge optional</t>
        </is>
      </c>
      <c r="D5" s="15" t="n">
        <v>4</v>
      </c>
      <c r="E5" s="16" t="n">
        <v>25000</v>
      </c>
      <c r="F5" s="17">
        <f>D5*E5</f>
        <v/>
      </c>
      <c r="G5" s="15" t="n">
        <v>350</v>
      </c>
      <c r="H5" s="14" t="inlineStr">
        <is>
          <t>Street 22,000-30,000 EUR ex VAT in 2026, estimate.</t>
        </is>
      </c>
    </row>
    <row r="6">
      <c r="A6" s="14" t="n">
        <v>2</v>
      </c>
      <c r="B6" s="14" t="inlineStr">
        <is>
          <t>4U GPU server barebone (as Tier A)</t>
        </is>
      </c>
      <c r="C6" s="14" t="inlineStr">
        <is>
          <t>2x 2,700 W redundant PSU</t>
        </is>
      </c>
      <c r="D6" s="15" t="n">
        <v>1</v>
      </c>
      <c r="E6" s="16" t="n">
        <v>7500</v>
      </c>
      <c r="F6" s="17">
        <f>D6*E6</f>
        <v/>
      </c>
      <c r="G6" s="15" t="n">
        <v>500</v>
      </c>
      <c r="H6" s="14" t="inlineStr">
        <is>
          <t>Same chassis as Tier A.</t>
        </is>
      </c>
    </row>
    <row r="7">
      <c r="A7" s="14" t="n">
        <v>3</v>
      </c>
      <c r="B7" s="14" t="inlineStr">
        <is>
          <t>AMD EPYC 9354 32-core CPU</t>
        </is>
      </c>
      <c r="C7" s="14" t="inlineStr"/>
      <c r="D7" s="15" t="n">
        <v>1</v>
      </c>
      <c r="E7" s="16" t="n">
        <v>2800</v>
      </c>
      <c r="F7" s="17">
        <f>D7*E7</f>
        <v/>
      </c>
      <c r="G7" s="15" t="n">
        <v>0</v>
      </c>
      <c r="H7" s="14" t="inlineStr"/>
    </row>
    <row r="8">
      <c r="A8" s="14" t="n">
        <v>4</v>
      </c>
      <c r="B8" s="14" t="inlineStr">
        <is>
          <t>DDR5-4800 ECC RDIMM 64 GB</t>
        </is>
      </c>
      <c r="C8" s="14" t="inlineStr">
        <is>
          <t>6 modules = 384 GB</t>
        </is>
      </c>
      <c r="D8" s="15" t="n">
        <v>6</v>
      </c>
      <c r="E8" s="16" t="n">
        <v>280</v>
      </c>
      <c r="F8" s="17">
        <f>D8*E8</f>
        <v/>
      </c>
      <c r="G8" s="15" t="n">
        <v>0</v>
      </c>
      <c r="H8" s="14" t="inlineStr"/>
    </row>
    <row r="9">
      <c r="A9" s="14" t="n">
        <v>5</v>
      </c>
      <c r="B9" s="14" t="inlineStr">
        <is>
          <t>Enterprise NVMe U.2 3.84 TB</t>
        </is>
      </c>
      <c r="C9" s="14" t="inlineStr">
        <is>
          <t>RAID 1</t>
        </is>
      </c>
      <c r="D9" s="15" t="n">
        <v>2</v>
      </c>
      <c r="E9" s="16" t="n">
        <v>450</v>
      </c>
      <c r="F9" s="17">
        <f>D9*E9</f>
        <v/>
      </c>
      <c r="G9" s="15" t="n">
        <v>0</v>
      </c>
      <c r="H9" s="14" t="inlineStr"/>
    </row>
    <row r="10">
      <c r="A10" s="14" t="n">
        <v>6</v>
      </c>
      <c r="B10" s="14" t="inlineStr">
        <is>
          <t>Boot SSD M.2 1 TB</t>
        </is>
      </c>
      <c r="C10" s="14" t="inlineStr"/>
      <c r="D10" s="15" t="n">
        <v>1</v>
      </c>
      <c r="E10" s="16" t="n">
        <v>120</v>
      </c>
      <c r="F10" s="17">
        <f>D10*E10</f>
        <v/>
      </c>
      <c r="G10" s="15" t="n">
        <v>0</v>
      </c>
      <c r="H10" s="14" t="inlineStr"/>
    </row>
    <row r="11">
      <c r="A11" s="14" t="n">
        <v>7</v>
      </c>
      <c r="B11" s="14" t="inlineStr">
        <is>
          <t>UPS 3 kVA online, rack 2U</t>
        </is>
      </c>
      <c r="C11" s="14" t="inlineStr"/>
      <c r="D11" s="15" t="n">
        <v>1</v>
      </c>
      <c r="E11" s="16" t="n">
        <v>1800</v>
      </c>
      <c r="F11" s="17">
        <f>D11*E11</f>
        <v/>
      </c>
      <c r="G11" s="15" t="n">
        <v>0</v>
      </c>
      <c r="H11" s="14" t="inlineStr"/>
    </row>
    <row r="12">
      <c r="A12" s="14" t="n">
        <v>8</v>
      </c>
      <c r="B12" s="14" t="inlineStr">
        <is>
          <t>Assembly, burn-in, OS + vLLM install</t>
        </is>
      </c>
      <c r="C12" s="14" t="inlineStr"/>
      <c r="D12" s="15" t="n">
        <v>1</v>
      </c>
      <c r="E12" s="16" t="n">
        <v>1500</v>
      </c>
      <c r="F12" s="17">
        <f>D12*E12</f>
        <v/>
      </c>
      <c r="G12" s="15" t="n">
        <v>0</v>
      </c>
      <c r="H12" s="14" t="inlineStr"/>
    </row>
    <row r="13">
      <c r="A13" s="14" t="n">
        <v>9</v>
      </c>
      <c r="B13" s="14" t="inlineStr">
        <is>
          <t>3-year on-site warranty / support</t>
        </is>
      </c>
      <c r="C13" s="14" t="inlineStr"/>
      <c r="D13" s="15" t="n">
        <v>1</v>
      </c>
      <c r="E13" s="16" t="n">
        <v>2500</v>
      </c>
      <c r="F13" s="17">
        <f>D13*E13</f>
        <v/>
      </c>
      <c r="G13" s="15" t="n">
        <v>0</v>
      </c>
      <c r="H13" s="14" t="inlineStr"/>
    </row>
    <row r="14">
      <c r="A14" s="18" t="n"/>
      <c r="B14" s="18" t="inlineStr">
        <is>
          <t>Hardware subtotal (ex VAT)</t>
        </is>
      </c>
      <c r="C14" s="18" t="n"/>
      <c r="D14" s="18" t="n"/>
      <c r="E14" s="18" t="n"/>
      <c r="F14" s="19">
        <f>SUM(F5:F13)</f>
        <v/>
      </c>
      <c r="G14" s="18" t="n"/>
      <c r="H14" s="18" t="n"/>
    </row>
    <row r="15">
      <c r="A15" s="18" t="n"/>
      <c r="B15" s="18" t="inlineStr">
        <is>
          <t>Contingency (spares, cables, shipping)</t>
        </is>
      </c>
      <c r="C15" s="18" t="inlineStr">
        <is>
          <t>rate from Assumptions</t>
        </is>
      </c>
      <c r="D15" s="18" t="n"/>
      <c r="E15" s="20">
        <f>Assumptions!$B$7</f>
        <v/>
      </c>
      <c r="F15" s="19">
        <f>F14*E15</f>
        <v/>
      </c>
      <c r="G15" s="18" t="n"/>
      <c r="H15" s="18" t="n"/>
    </row>
    <row r="16">
      <c r="A16" s="18" t="n"/>
      <c r="B16" s="18" t="inlineStr">
        <is>
          <t>Total capex (ex VAT)</t>
        </is>
      </c>
      <c r="C16" s="18" t="n"/>
      <c r="D16" s="18" t="n"/>
      <c r="E16" s="18" t="n"/>
      <c r="F16" s="19">
        <f>F14+F15</f>
        <v/>
      </c>
      <c r="G16" s="18" t="n"/>
      <c r="H16" s="18" t="n"/>
    </row>
    <row r="17">
      <c r="A17" s="18" t="n"/>
      <c r="B17" s="18" t="inlineStr">
        <is>
          <t>VAT</t>
        </is>
      </c>
      <c r="C17" s="18" t="n"/>
      <c r="D17" s="18" t="n"/>
      <c r="E17" s="20">
        <f>Assumptions!$B$5</f>
        <v/>
      </c>
      <c r="F17" s="19">
        <f>F16*E17</f>
        <v/>
      </c>
      <c r="G17" s="18" t="n"/>
      <c r="H17" s="18" t="n"/>
    </row>
    <row r="18">
      <c r="A18" s="18" t="n"/>
      <c r="B18" s="18" t="inlineStr">
        <is>
          <t>Total capex (incl. VAT)</t>
        </is>
      </c>
      <c r="C18" s="18" t="n"/>
      <c r="D18" s="18" t="n"/>
      <c r="E18" s="18" t="n"/>
      <c r="F18" s="19">
        <f>F16+F17</f>
        <v/>
      </c>
      <c r="G18" s="18" t="n"/>
      <c r="H18" s="18" t="n"/>
    </row>
    <row r="20">
      <c r="B20" s="7" t="inlineStr">
        <is>
          <t>Power and running cost</t>
        </is>
      </c>
    </row>
    <row r="21">
      <c r="A21" s="21" t="n"/>
      <c r="B21" s="21" t="inlineStr">
        <is>
          <t>Peak system power (W)</t>
        </is>
      </c>
      <c r="C21" s="21" t="n"/>
      <c r="D21" s="21" t="n"/>
      <c r="E21" s="21" t="n"/>
      <c r="F21" s="22">
        <f>SUMPRODUCT(D5:D13,G5:G13)</f>
        <v/>
      </c>
      <c r="G21" s="21" t="n"/>
      <c r="H21" s="21" t="n"/>
    </row>
    <row r="22">
      <c r="A22" s="21" t="n"/>
      <c r="B22" s="21" t="inlineStr">
        <is>
          <t>Average draw (W) = peak x load factor</t>
        </is>
      </c>
      <c r="C22" s="21" t="n"/>
      <c r="D22" s="21" t="n"/>
      <c r="E22" s="23">
        <f>Assumptions!$B$10</f>
        <v/>
      </c>
      <c r="F22" s="22">
        <f>F21*E22</f>
        <v/>
      </c>
      <c r="G22" s="21" t="n"/>
      <c r="H22" s="21" t="n"/>
    </row>
    <row r="23">
      <c r="A23" s="21" t="n"/>
      <c r="B23" s="21" t="inlineStr">
        <is>
          <t>Electricity per month (EUR)</t>
        </is>
      </c>
      <c r="C23" s="21" t="inlineStr">
        <is>
          <t>avg W / 1000 x hours x EUR/kWh</t>
        </is>
      </c>
      <c r="D23" s="21" t="n"/>
      <c r="E23" s="21" t="n"/>
      <c r="F23" s="24">
        <f>F22/1000*Assumptions!$B$9*Assumptions!$B$6</f>
        <v/>
      </c>
      <c r="G23" s="21" t="n"/>
      <c r="H23" s="21" t="n"/>
    </row>
    <row r="24">
      <c r="A24" s="21" t="n"/>
      <c r="B24" s="21" t="inlineStr">
        <is>
          <t>Capex amortised per month (EUR, ex VAT)</t>
        </is>
      </c>
      <c r="C24" s="21" t="n"/>
      <c r="D24" s="21" t="n"/>
      <c r="E24" s="21" t="n"/>
      <c r="F24" s="24">
        <f>F16/Assumptions!$B$8</f>
        <v/>
      </c>
      <c r="G24" s="21" t="n"/>
      <c r="H24" s="21" t="n"/>
    </row>
    <row r="25">
      <c r="A25" s="21" t="n"/>
      <c r="B25" s="21" t="inlineStr">
        <is>
          <t>Total cost of ownership per month (EUR, ex VAT)</t>
        </is>
      </c>
      <c r="C25" s="21" t="n"/>
      <c r="D25" s="21" t="n"/>
      <c r="E25" s="21" t="n"/>
      <c r="F25" s="24">
        <f>F23+F24</f>
        <v/>
      </c>
      <c r="G25" s="21" t="n"/>
      <c r="H25" s="21" t="n"/>
    </row>
    <row r="27">
      <c r="A27" s="10" t="n"/>
      <c r="B27" s="10" t="inlineStr">
        <is>
          <t>Total GPU VRAM (GB)</t>
        </is>
      </c>
      <c r="C27" s="10" t="n"/>
      <c r="D27" s="10" t="n"/>
      <c r="E27" s="10" t="n"/>
      <c r="F27" s="25" t="n">
        <v>320</v>
      </c>
      <c r="G27" s="10" t="n"/>
      <c r="H27" s="10" t="inlineStr">
        <is>
          <t>GPU count x VRAM per card.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2" customWidth="1" min="3" max="3"/>
    <col width="42" customWidth="1" min="4" max="4"/>
    <col width="26" customWidth="1" min="5" max="5"/>
  </cols>
  <sheetData>
    <row r="1">
      <c r="A1" s="1" t="inlineStr">
        <is>
          <t>Cloud rental and API versus owning the box</t>
        </is>
      </c>
    </row>
    <row r="2">
      <c r="A2" s="8" t="inlineStr">
        <is>
          <t>Monthly figures. Rental and API rows use the Assumptions sheet; on-prem rows use the BOM sheets.</t>
        </is>
      </c>
    </row>
    <row r="4" ht="30" customHeight="1">
      <c r="A4" s="3" t="inlineStr">
        <is>
          <t>Option</t>
        </is>
      </c>
      <c r="B4" s="3" t="inlineStr">
        <is>
          <t>Runs Mistral Medium 3.5?</t>
        </is>
      </c>
      <c r="C4" s="3" t="inlineStr">
        <is>
          <t>EUR per month (ex VAT)</t>
        </is>
      </c>
      <c r="D4" s="3" t="inlineStr">
        <is>
          <t>Basis</t>
        </is>
      </c>
      <c r="E4" s="3" t="inlineStr">
        <is>
          <t>Break-even vs owning (months)</t>
        </is>
      </c>
    </row>
    <row r="6">
      <c r="A6" s="4" t="inlineStr">
        <is>
          <t>Own Tier A (4x RTX PRO 6000), TCO</t>
        </is>
      </c>
      <c r="B6" s="4" t="inlineStr">
        <is>
          <t>Yes</t>
        </is>
      </c>
      <c r="C6" s="6">
        <f>'Tier A - Medium on-prem'!F28</f>
        <v/>
      </c>
      <c r="D6" s="4" t="inlineStr">
        <is>
          <t>electricity + capex / amortisation months</t>
        </is>
      </c>
      <c r="E6" s="4" t="n"/>
    </row>
    <row r="7">
      <c r="A7" s="4" t="inlineStr">
        <is>
          <t>Own Tier C (4x H100), TCO</t>
        </is>
      </c>
      <c r="B7" s="4" t="inlineStr">
        <is>
          <t>Yes</t>
        </is>
      </c>
      <c r="C7" s="6">
        <f>'Tier C - H100 reference'!F25</f>
        <v/>
      </c>
      <c r="D7" s="4" t="inlineStr">
        <is>
          <t>electricity + capex / amortisation months</t>
        </is>
      </c>
      <c r="E7" s="4" t="n"/>
    </row>
    <row r="8">
      <c r="A8" s="4" t="inlineStr">
        <is>
          <t>Own Tier B (1x RTX 5090), TCO</t>
        </is>
      </c>
      <c r="B8" s="4" t="inlineStr">
        <is>
          <t>No (Small 3.2 only)</t>
        </is>
      </c>
      <c r="C8" s="6">
        <f>'Tier B - Small workstation'!F26</f>
        <v/>
      </c>
      <c r="D8" s="4" t="inlineStr">
        <is>
          <t>electricity + capex / amortisation months</t>
        </is>
      </c>
      <c r="E8" s="4" t="n"/>
    </row>
    <row r="9">
      <c r="A9" s="4" t="inlineStr">
        <is>
          <t>Rent 4x H100 on demand</t>
        </is>
      </c>
      <c r="B9" s="4" t="inlineStr">
        <is>
          <t>Yes</t>
        </is>
      </c>
      <c r="C9" s="6">
        <f>Assumptions!$B$11*Assumptions!$B$9</f>
        <v/>
      </c>
      <c r="D9" s="4" t="inlineStr">
        <is>
          <t>EUR/h x operating hours</t>
        </is>
      </c>
      <c r="E9" s="26">
        <f>'Tier C - H100 reference'!F16/C9</f>
        <v/>
      </c>
    </row>
    <row r="10">
      <c r="A10" s="4" t="inlineStr">
        <is>
          <t>Rent 4x RTX PRO 6000 on demand</t>
        </is>
      </c>
      <c r="B10" s="4" t="inlineStr">
        <is>
          <t>Yes</t>
        </is>
      </c>
      <c r="C10" s="6">
        <f>Assumptions!$B$12*Assumptions!$B$9</f>
        <v/>
      </c>
      <c r="D10" s="4" t="inlineStr">
        <is>
          <t>EUR/h x operating hours</t>
        </is>
      </c>
      <c r="E10" s="26">
        <f>'Tier A - Medium on-prem'!F19/C10</f>
        <v/>
      </c>
    </row>
    <row r="11">
      <c r="A11" s="4" t="inlineStr">
        <is>
          <t>Rent 1x RTX 5090 on demand</t>
        </is>
      </c>
      <c r="B11" s="4" t="inlineStr">
        <is>
          <t>No (Small 3.2 only)</t>
        </is>
      </c>
      <c r="C11" s="6">
        <f>Assumptions!$B$13*Assumptions!$B$9</f>
        <v/>
      </c>
      <c r="D11" s="4" t="inlineStr">
        <is>
          <t>EUR/h x operating hours</t>
        </is>
      </c>
      <c r="E11" s="26">
        <f>'Tier B - Small workstation'!F17/C11</f>
        <v/>
      </c>
    </row>
    <row r="12">
      <c r="A12" s="4" t="inlineStr">
        <is>
          <t>Mistral API (mistral-medium-latest), pay per page</t>
        </is>
      </c>
      <c r="B12" s="4" t="inlineStr">
        <is>
          <t>Yes (hosted)</t>
        </is>
      </c>
      <c r="C12" s="6">
        <f>Assumptions!$B$14*Assumptions!$B$15</f>
        <v/>
      </c>
      <c r="D12" s="4" t="inlineStr">
        <is>
          <t>measured EUR/page x pages per month</t>
        </is>
      </c>
      <c r="E12" s="26">
        <f>'Tier A - Medium on-prem'!F19/C12</f>
        <v/>
      </c>
    </row>
    <row r="14">
      <c r="A14" s="8" t="inlineStr">
        <is>
          <t>Break-even = capex of the comparable owned tier / monthly rental or API spend. Below the amortisation period means buying is cheaper than renting at that usage.</t>
        </is>
      </c>
    </row>
    <row r="15">
      <c r="A15" s="8" t="inlineStr">
        <is>
          <t>Pages per month needed for the API to cost as much as owning Tier A:</t>
        </is>
      </c>
      <c r="C15" s="27">
        <f>'Tier A - Medium on-prem'!F28/Assumptions!$B$14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70" customWidth="1" min="3" max="3"/>
  </cols>
  <sheetData>
    <row r="1">
      <c r="A1" s="1" t="inlineStr">
        <is>
          <t>Notes and sources</t>
        </is>
      </c>
    </row>
    <row r="3">
      <c r="A3" s="9" t="inlineStr">
        <is>
          <t>Topic</t>
        </is>
      </c>
      <c r="B3" s="9" t="inlineStr">
        <is>
          <t>Note</t>
        </is>
      </c>
      <c r="C3" s="9" t="inlineStr">
        <is>
          <t>Source</t>
        </is>
      </c>
    </row>
    <row r="4">
      <c r="A4" s="4" t="inlineStr">
        <is>
          <t>Model facts</t>
        </is>
      </c>
      <c r="B4" s="4" t="inlineStr">
        <is>
          <t>Mistral Medium 3.5: 128B dense, vision encoder (max image 1540x1540), 256K context, FP8 checkpoint ~134 GB, Modified MIT licence, released 2026-04-29. vLLM nightly required (not in a stable release yet). HF: mistralai/Mistral-Medium-3.5-128B.</t>
        </is>
      </c>
      <c r="C4" s="4" t="inlineStr">
        <is>
          <t>https://recipes.vllm.ai/mistralai/Mistral-Medium-3.5-128B</t>
        </is>
      </c>
    </row>
    <row r="5">
      <c r="A5" s="4" t="inlineStr">
        <is>
          <t>Model facts</t>
        </is>
      </c>
      <c r="B5" s="4" t="inlineStr">
        <is>
          <t>NVIDIA model card: input text + image, output text, Modified MIT.</t>
        </is>
      </c>
      <c r="C5" s="4" t="inlineStr">
        <is>
          <t>https://build.nvidia.com/mistralai/mistral-medium-3.5-128b/modelcard</t>
        </is>
      </c>
    </row>
    <row r="6">
      <c r="A6" s="4" t="inlineStr">
        <is>
          <t>Sizing</t>
        </is>
      </c>
      <c r="B6" s="4" t="inlineStr">
        <is>
          <t>FP8 ~128 GB weights, ~147 GB minimum before KV cache; BF16 ~256 GB; INT4 ~64 GB. 4x H100 80 GB called the 'sweet spot'. vllm serve example with --tensor-parallel-size 4 --quantization fp8 --max-model-len 65536.</t>
        </is>
      </c>
      <c r="C6" s="4" t="inlineStr">
        <is>
          <t>https://www.spheron.network/blog/mistral-medium-3-5-gpu-requirements/</t>
        </is>
      </c>
    </row>
    <row r="7">
      <c r="A7" s="4" t="inlineStr">
        <is>
          <t>Sizing</t>
        </is>
      </c>
      <c r="B7" s="4" t="inlineStr">
        <is>
          <t>Mistral: self-host on 'as few as four GPUs'. Suggested: 4x H100 80 GB, 4x H200 141 GB, or 4x RTX PRO 6000 Blackwell 96 GB; 256 GB+ system RAM; 10 GbE; 2,500 W+ under load.</t>
        </is>
      </c>
      <c r="C7" s="4" t="inlineStr">
        <is>
          <t>https://vrlatech.com/mistral-medium-3-5/</t>
        </is>
      </c>
    </row>
    <row r="8">
      <c r="A8" s="4" t="inlineStr">
        <is>
          <t>Sizing</t>
        </is>
      </c>
      <c r="B8" s="4" t="inlineStr">
        <is>
          <t>vLLM recipe recommends 8x H200 (TP 8) or 4x B200 for full 256K context; a single B200 / MI300X fits the weights but leaves little KV cache.</t>
        </is>
      </c>
      <c r="C8" s="4" t="inlineStr">
        <is>
          <t>https://recipes.vllm.ai/mistralai/Mistral-Medium-3.5-128B</t>
        </is>
      </c>
    </row>
    <row r="9">
      <c r="A9" s="4" t="inlineStr">
        <is>
          <t>GPU price</t>
        </is>
      </c>
      <c r="B9" s="4" t="inlineStr">
        <is>
          <t>RTX PRO 6000 Blackwell Server Edition 96 GB: 6,999 EUR ex VAT (eBay.de, sold), 8,854 EUR (Arvutitark), 8,990 EUR (eBay.de), 12,893 EUR ex VAT (Servermall), 17,628 EUR list (SHI).</t>
        </is>
      </c>
      <c r="C9" s="4" t="inlineStr">
        <is>
          <t>https://servermall.com/catalog/gpu/nvidia-rtx-pro-6000-blackwell-server-edition/</t>
        </is>
      </c>
    </row>
    <row r="10">
      <c r="A10" s="4" t="inlineStr">
        <is>
          <t>GPU price</t>
        </is>
      </c>
      <c r="B10" s="4" t="inlineStr">
        <is>
          <t>Arvutitark listing, 8,854.40 EUR.</t>
        </is>
      </c>
      <c r="C10" s="4" t="inlineStr">
        <is>
          <t>https://www.arvutitark.ee/en/pc-components/graphics-cards-vga/nvidia-rtx-pro-6000-blackwell-server-edition-96-gb-gddr7-1486083</t>
        </is>
      </c>
    </row>
    <row r="11">
      <c r="A11" s="4" t="inlineStr">
        <is>
          <t>GPU price</t>
        </is>
      </c>
      <c r="B11" s="4" t="inlineStr">
        <is>
          <t>H100 80 GB PCIe: 22,000-30,000 EUR ex VAT street in 2026 (estimate, no public 2026 listing found; Servermall 6x H100 system 301,469 EUR).</t>
        </is>
      </c>
      <c r="C11" s="4" t="inlineStr">
        <is>
          <t>https://servermall.com/catalog/servers/supermicro-as-4124gs-tnr-24sff/</t>
        </is>
      </c>
    </row>
    <row r="12">
      <c r="A12" s="4" t="inlineStr">
        <is>
          <t>Chassis</t>
        </is>
      </c>
      <c r="B12" s="4" t="inlineStr">
        <is>
          <t>Public 4x GPU barebone listings are stale or out of stock; the 7,500 EUR line is a reseller estimate. Ask Thomas-Krenn / Delta Computer / Supermicro partners for a quote.</t>
        </is>
      </c>
      <c r="C12" s="4" t="inlineStr">
        <is>
          <t>https://www.neweggbusiness.com/s/server-barebones/id-8/3?local=y</t>
        </is>
      </c>
    </row>
    <row r="13">
      <c r="A13" s="4" t="inlineStr">
        <is>
          <t>Fallback model</t>
        </is>
      </c>
      <c r="B13" s="4" t="inlineStr">
        <is>
          <t>Mistral Small 3.2 24B (vision, Apache 2.0): ~14-21 GB at Q4 depending on context, ~26 GB at Q8; fits one 24-32 GB card.</t>
        </is>
      </c>
      <c r="C13" s="4" t="inlineStr">
        <is>
          <t>https://willitrunai.com/models/hf-unsloth--mistral-small-3-2-24b-instruct-2506-gguf</t>
        </is>
      </c>
    </row>
    <row r="14">
      <c r="A14" s="4" t="inlineStr">
        <is>
          <t>Project measurement</t>
        </is>
      </c>
      <c r="B14" s="4" t="inlineStr">
        <is>
          <t>Corpus replay 2026-10-17: 39 vision calls to mistral-medium-latest = 0.39 USD, i.e. ~0.01 EUR per page. Medium downscales images to ~1540 px, matching the model card limit.</t>
        </is>
      </c>
      <c r="C14" s="4" t="inlineStr">
        <is>
          <t>bh3/README.md (local)</t>
        </is>
      </c>
    </row>
    <row r="15">
      <c r="A15" s="4" t="inlineStr">
        <is>
          <t>Caveat</t>
        </is>
      </c>
      <c r="B15" s="4" t="inlineStr">
        <is>
          <t>Rental prices, electricity, labour and warranty lines are estimates and not quotes. Replace blue cells with supplier figures before any purchase decision. Formulas recalculate automatically in Excel on open.</t>
        </is>
      </c>
      <c r="C15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2026-10-17T12:04:59Z</dcterms:created>
  <dcterms:modified xsi:type="dcterms:W3CDTF">2026-10-17T12:04:59Z</dcterms:modified>
</cp:coreProperties>
</file>